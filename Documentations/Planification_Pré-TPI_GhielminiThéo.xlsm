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A4" i="1" l="1"/>
  <c r="C33" i="1" s="1"/>
  <c r="H2" i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s="1"/>
  <c r="C41" i="1" l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<sst xmlns="http://schemas.openxmlformats.org/spreadsheetml/2006/main" count="153" uniqueCount="95">
  <si>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</si>
  <si>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</si>
  <si>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</si>
  <si>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</si>
  <si>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</si>
  <si>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</si>
  <si>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</si>
  <si>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</si>
  <si>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</si>
  <si>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</si>
  <si>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</si>
  <si>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</si>
  <si>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</si>
  <si>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</si>
  <si>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</si>
  <si>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</si>
  <si>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</si>
  <si>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</si>
  <si>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</si>
  <si>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</si>
  <si>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</si>
  <si>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</si>
  <si>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</si>
  <si>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</si>
  <si>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</si>
  <si>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</si>
  <si>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</si>
  <si>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</si>
  <si>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</si>
  <si>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</si>
  <si>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</si>
  <si>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</si>
  <si>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</si>
  <si>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</si>
  <si>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</si>
  <si>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</si>
  <si>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</si>
  <si>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</si>
  <si>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</si>
  <si>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</si>
  <si>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</si>
  <si>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</si>
  <si>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</si>
  <si>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</si>
  <si>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</si>
  <si>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</si>
  <si>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</si>
  <si>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</si>
  <si>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</si>
  <si>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</si>
  <si>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</si>
  <si>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</si>
  <si>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</si>
  <si>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</si>
  <si>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</si>
  <si>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</si>
  <si>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</si>
  <si>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</si>
  <si>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</si>
  <si>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</si>
  <si>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</si>
  <si>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</si>
  <si>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</si>
  <si>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</si>
  <si>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</si>
  <si>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</si>
  <si>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</si>
  <si>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</si>
  <si>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</si>
  <si>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</si>
  <si>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</si>
  <si>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</si>
  <si>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</si>
  <si>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</si>
  <si>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</si>
  <si>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</si>
  <si>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</si>
  <si>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</si>
  <si>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</si>
  <si>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Problème d'espace disponible sur la machine physique</t>
  </si>
  <si>
    <t>Installation d'ADK sur le nouveau serveur</t>
  </si>
  <si>
    <t>Réinstallation d'un serveur avec tous les services sur mon disque dur externe pour pouvoir continuer d'avancer</t>
  </si>
  <si>
    <t>Début de la création des fichiers de réponse</t>
  </si>
  <si>
    <t>Tantative de deploiement</t>
  </si>
  <si>
    <t>Modification des fichiers de réponse sans grand succès</t>
  </si>
  <si>
    <t>Avancement dans la documentation car pris du retard la semaine passée</t>
  </si>
  <si>
    <t>Mise en forme de la documentation + continuation de la doc</t>
  </si>
  <si>
    <t xml:space="preserve">Modifiacation des fichiers de réponses </t>
  </si>
  <si>
    <t>Modification dans la documentation</t>
  </si>
  <si>
    <t>Recréation de fichier de réponse car l'ancien était corrompu + résolution de certains problèmes</t>
  </si>
  <si>
    <t>Tests de modification du fichier + déploiement</t>
  </si>
  <si>
    <t>Remplissage de la stratégie de test + mise en page du cdc dans la doc</t>
  </si>
  <si>
    <t xml:space="preserve">Réalisation du schéma logique </t>
  </si>
  <si>
    <t xml:space="preserve">Recherches sur d'autres logiciels de déploiement </t>
  </si>
  <si>
    <t xml:space="preserve">Mise en ordre du document + comparaison de logiciel de déploiement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</si>
</sst>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17</v>
      </c>
      <c r="B4" s="11">
        <v>44957</v>
      </c>
      <c r="C4" s="12" t="s">
        <v>18</v>
      </c>
      <c r="D4" s="13" t="s">
        <v>19</v>
      </c>
      <c r="E4" s="5"/>
      <c r="F4" s="8" t="s">
        <v>27</v>
      </c>
      <c r="G4" s="14" t="s">
        <v>16</v>
      </c>
      <c r="H4" s="5"/>
    </row>
    <row r="5" spans="1:8" x14ac:dyDescent="0.25">
      <c r="A5" s="9"/>
      <c r="B5" s="5"/>
      <c r="C5" s="12"/>
      <c r="D5" s="13"/>
      <c r="E5" s="5"/>
      <c r="F5" s="3"/>
      <c r="G5" s="15" t="s">
        <v>29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28</v>
      </c>
      <c r="G10" s="8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20</v>
      </c>
      <c r="G23" s="14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21</v>
      </c>
      <c r="G29" s="8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47</v>
      </c>
      <c r="G35" s="8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abSelected="1" topLeftCell="A43" zoomScale="70" zoomScaleNormal="70" zoomScalePageLayoutView="70" workbookViewId="0">
      <selection activeCell="B54" sqref="B54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Base!C4</f>
        <v>Ghielmini</v>
      </c>
      <c r="B4" s="54">
        <f>SUM(D4:T4)</f>
        <v>2.1701388888888888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0.36805555555555552</v>
      </c>
      <c r="K4" s="51"/>
      <c r="L4" s="52">
        <f>SUMIF($C$8:$C$9988,$C9,L$8:L$9988)</f>
        <v>0.31944444444444442</v>
      </c>
      <c r="M4" s="51"/>
      <c r="N4" s="52">
        <f>SUMIF($C$8:$C$9988,$C9,N$8:N$9988)</f>
        <v>0.25</v>
      </c>
      <c r="O4" s="51"/>
      <c r="P4" s="52">
        <f>SUMIF($C$8:$C$9988,$C9,P$8:P$9988)</f>
        <v>0.375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0.57291666666666663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Ghielmini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Ghielmini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4.5138888888888888E-2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7.6388888888888895E-2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0.25694444444444442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Ghielmini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Ghielmini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Ghielmini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Ghielmini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0.71527777777777779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Ghielmini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9.375E-2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0.13541666666666666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Ghielmini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2.0833333333333332E-2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2.0833333333333332E-2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Ghielmini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Ghielmini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Ghielmini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Ghielmini</v>
      </c>
      <c r="D33" s="75">
        <f>SUMIFS(Journal!$D$4:$D$10001,Journal!$B$4:$B$10001,D$5,Journal!$C$4:$C$10001,$B32)</f>
        <v>0</v>
      </c>
      <c r="E33" s="75">
        <f>SUMIFS(Journal!$D$4:$D$10001,Journal!$B$4:$B$10001,E$5,Journal!$C$4:$C$10001,$B32)</f>
        <v>0</v>
      </c>
      <c r="F33" s="75">
        <f>SUMIFS(Journal!$D$4:$D$10001,Journal!$B$4:$B$10001,F$5,Journal!$C$4:$C$10001,$B32)</f>
        <v>0</v>
      </c>
      <c r="G33" s="75">
        <f>SUMIFS(Journal!$D$4:$D$10001,Journal!$B$4:$B$10001,G$5,Journal!$C$4:$C$10001,$B32)</f>
        <v>0</v>
      </c>
      <c r="H33" s="75">
        <f>SUMIFS(Journal!$D$4:$D$10001,Journal!$B$4:$B$10001,H$5,Journal!$C$4:$C$10001,$B32)</f>
        <v>0</v>
      </c>
      <c r="I33" s="75">
        <f>SUMIFS(Journal!$D$4:$D$10001,Journal!$B$4:$B$10001,I$5,Journal!$C$4:$C$10001,$B32)</f>
        <v>0</v>
      </c>
      <c r="J33" s="75">
        <f>SUMIFS(Journal!$D$4:$D$10001,Journal!$B$4:$B$10001,J$5,Journal!$C$4:$C$10001,$B32)</f>
        <v>9.375E-2</v>
      </c>
      <c r="K33" s="75">
        <f>SUMIFS(Journal!$D$4:$D$10001,Journal!$B$4:$B$10001,K$5,Journal!$C$4:$C$10001,$B32)</f>
        <v>0</v>
      </c>
      <c r="L33" s="75">
        <f>SUMIFS(Journal!$D$4:$D$10001,Journal!$B$4:$B$10001,L$5,Journal!$C$4:$C$10001,$B32)</f>
        <v>1.3888888888888888E-2</v>
      </c>
      <c r="M33" s="75">
        <f>SUMIFS(Journal!$D$4:$D$10001,Journal!$B$4:$B$10001,M$5,Journal!$C$4:$C$10001,$B32)</f>
        <v>0</v>
      </c>
      <c r="N33" s="75">
        <f>SUMIFS(Journal!$D$4:$D$10001,Journal!$B$4:$B$10001,N$5,Journal!$C$4:$C$10001,$B32)</f>
        <v>0</v>
      </c>
      <c r="O33" s="75">
        <f>SUMIFS(Journal!$D$4:$D$10001,Journal!$B$4:$B$10001,O$5,Journal!$C$4:$C$10001,$B32)</f>
        <v>0</v>
      </c>
      <c r="P33" s="75">
        <f>SUMIFS(Journal!$D$4:$D$10001,Journal!$B$4:$B$10001,P$5,Journal!$C$4:$C$10001,$B32)</f>
        <v>0</v>
      </c>
      <c r="Q33" s="75">
        <f>SUMIFS(Journal!$D$4:$D$10001,Journal!$B$4:$B$10001,Q$5,Journal!$C$4:$C$10001,$B32)</f>
        <v>0</v>
      </c>
      <c r="R33" s="75">
        <f>SUMIFS(Journal!$D$4:$D$10001,Journal!$B$4:$B$10001,R$5,Journal!$C$4:$C$10001,$B32)</f>
        <v>0</v>
      </c>
      <c r="S33" s="75">
        <f>SUMIFS(Journal!$D$4:$D$10001,Journal!$B$4:$B$10001,S$5,Journal!$C$4:$C$10001,$B32)</f>
        <v>0</v>
      </c>
      <c r="T33" s="75">
        <f>SUMIFS(Journal!$D$4:$D$10001,Journal!$B$4:$B$10001,T$5,Journal!$C$4:$C$10001,$B32)</f>
        <v>0</v>
      </c>
      <c r="U33" s="78">
        <f t="shared" si="2"/>
        <v>0.1076388888888889</v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Ghielmini</v>
      </c>
      <c r="D35" s="75">
        <f>SUMIFS(Journal!$D$4:$D$10001,Journal!$B$4:$B$10001,D$5,Journal!$C$4:$C$10001,$B34)</f>
        <v>0</v>
      </c>
      <c r="E35" s="75">
        <f>SUMIFS(Journal!$D$4:$D$10001,Journal!$B$4:$B$10001,E$5,Journal!$C$4:$C$10001,$B34)</f>
        <v>0</v>
      </c>
      <c r="F35" s="75">
        <f>SUMIFS(Journal!$D$4:$D$10001,Journal!$B$4:$B$10001,F$5,Journal!$C$4:$C$10001,$B34)</f>
        <v>0</v>
      </c>
      <c r="G35" s="75">
        <f>SUMIFS(Journal!$D$4:$D$10001,Journal!$B$4:$B$10001,G$5,Journal!$C$4:$C$10001,$B34)</f>
        <v>0</v>
      </c>
      <c r="H35" s="75">
        <f>SUMIFS(Journal!$D$4:$D$10001,Journal!$B$4:$B$10001,H$5,Journal!$C$4:$C$10001,$B34)</f>
        <v>0</v>
      </c>
      <c r="I35" s="75">
        <f>SUMIFS(Journal!$D$4:$D$10001,Journal!$B$4:$B$10001,I$5,Journal!$C$4:$C$10001,$B34)</f>
        <v>0</v>
      </c>
      <c r="J35" s="75">
        <f>SUMIFS(Journal!$D$4:$D$10001,Journal!$B$4:$B$10001,J$5,Journal!$C$4:$C$10001,$B34)</f>
        <v>2.0833333333333332E-2</v>
      </c>
      <c r="K35" s="75">
        <f>SUMIFS(Journal!$D$4:$D$10001,Journal!$B$4:$B$10001,K$5,Journal!$C$4:$C$10001,$B34)</f>
        <v>0</v>
      </c>
      <c r="L35" s="75">
        <f>SUMIFS(Journal!$D$4:$D$10001,Journal!$B$4:$B$10001,L$5,Journal!$C$4:$C$10001,$B34)</f>
        <v>0</v>
      </c>
      <c r="M35" s="75">
        <f>SUMIFS(Journal!$D$4:$D$10001,Journal!$B$4:$B$10001,M$5,Journal!$C$4:$C$10001,$B34)</f>
        <v>0</v>
      </c>
      <c r="N35" s="75">
        <f>SUMIFS(Journal!$D$4:$D$10001,Journal!$B$4:$B$10001,N$5,Journal!$C$4:$C$10001,$B34)</f>
        <v>0</v>
      </c>
      <c r="O35" s="75">
        <f>SUMIFS(Journal!$D$4:$D$10001,Journal!$B$4:$B$10001,O$5,Journal!$C$4:$C$10001,$B34)</f>
        <v>0</v>
      </c>
      <c r="P35" s="75">
        <f>SUMIFS(Journal!$D$4:$D$10001,Journal!$B$4:$B$10001,P$5,Journal!$C$4:$C$10001,$B34)</f>
        <v>0</v>
      </c>
      <c r="Q35" s="75">
        <f>SUMIFS(Journal!$D$4:$D$10001,Journal!$B$4:$B$10001,Q$5,Journal!$C$4:$C$10001,$B34)</f>
        <v>0</v>
      </c>
      <c r="R35" s="75">
        <f>SUMIFS(Journal!$D$4:$D$10001,Journal!$B$4:$B$10001,R$5,Journal!$C$4:$C$10001,$B34)</f>
        <v>0</v>
      </c>
      <c r="S35" s="75">
        <f>SUMIFS(Journal!$D$4:$D$10001,Journal!$B$4:$B$10001,S$5,Journal!$C$4:$C$10001,$B34)</f>
        <v>0</v>
      </c>
      <c r="T35" s="75">
        <f>SUMIFS(Journal!$D$4:$D$10001,Journal!$B$4:$B$10001,T$5,Journal!$C$4:$C$10001,$B34)</f>
        <v>0</v>
      </c>
      <c r="U35" s="78">
        <f t="shared" si="3"/>
        <v>2.0833333333333332E-2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Ghielmini</v>
      </c>
      <c r="D37" s="75">
        <f>SUMIFS(Journal!$D$4:$D$10001,Journal!$B$4:$B$10001,D$5,Journal!$C$4:$C$10001,$B36)</f>
        <v>0</v>
      </c>
      <c r="E37" s="75">
        <f>SUMIFS(Journal!$D$4:$D$10001,Journal!$B$4:$B$10001,E$5,Journal!$C$4:$C$10001,$B36)</f>
        <v>0</v>
      </c>
      <c r="F37" s="75">
        <f>SUMIFS(Journal!$D$4:$D$10001,Journal!$B$4:$B$10001,F$5,Journal!$C$4:$C$10001,$B36)</f>
        <v>0</v>
      </c>
      <c r="G37" s="75">
        <f>SUMIFS(Journal!$D$4:$D$10001,Journal!$B$4:$B$10001,G$5,Journal!$C$4:$C$10001,$B36)</f>
        <v>0</v>
      </c>
      <c r="H37" s="75">
        <f>SUMIFS(Journal!$D$4:$D$10001,Journal!$B$4:$B$10001,H$5,Journal!$C$4:$C$10001,$B36)</f>
        <v>0</v>
      </c>
      <c r="I37" s="75">
        <f>SUMIFS(Journal!$D$4:$D$10001,Journal!$B$4:$B$10001,I$5,Journal!$C$4:$C$10001,$B36)</f>
        <v>0</v>
      </c>
      <c r="J37" s="75">
        <f>SUMIFS(Journal!$D$4:$D$10001,Journal!$B$4:$B$10001,J$5,Journal!$C$4:$C$10001,$B36)</f>
        <v>0</v>
      </c>
      <c r="K37" s="75">
        <f>SUMIFS(Journal!$D$4:$D$10001,Journal!$B$4:$B$10001,K$5,Journal!$C$4:$C$10001,$B36)</f>
        <v>0</v>
      </c>
      <c r="L37" s="75">
        <f>SUMIFS(Journal!$D$4:$D$10001,Journal!$B$4:$B$10001,L$5,Journal!$C$4:$C$10001,$B36)</f>
        <v>6.9444444444444441E-3</v>
      </c>
      <c r="M37" s="75">
        <f>SUMIFS(Journal!$D$4:$D$10001,Journal!$B$4:$B$10001,M$5,Journal!$C$4:$C$10001,$B36)</f>
        <v>0</v>
      </c>
      <c r="N37" s="75">
        <f>SUMIFS(Journal!$D$4:$D$10001,Journal!$B$4:$B$10001,N$5,Journal!$C$4:$C$10001,$B36)</f>
        <v>0</v>
      </c>
      <c r="O37" s="75">
        <f>SUMIFS(Journal!$D$4:$D$10001,Journal!$B$4:$B$10001,O$5,Journal!$C$4:$C$10001,$B36)</f>
        <v>0</v>
      </c>
      <c r="P37" s="75">
        <f>SUMIFS(Journal!$D$4:$D$10001,Journal!$B$4:$B$10001,P$5,Journal!$C$4:$C$10001,$B36)</f>
        <v>0</v>
      </c>
      <c r="Q37" s="75">
        <f>SUMIFS(Journal!$D$4:$D$10001,Journal!$B$4:$B$10001,Q$5,Journal!$C$4:$C$10001,$B36)</f>
        <v>0</v>
      </c>
      <c r="R37" s="75">
        <f>SUMIFS(Journal!$D$4:$D$10001,Journal!$B$4:$B$10001,R$5,Journal!$C$4:$C$10001,$B36)</f>
        <v>0</v>
      </c>
      <c r="S37" s="75">
        <f>SUMIFS(Journal!$D$4:$D$10001,Journal!$B$4:$B$10001,S$5,Journal!$C$4:$C$10001,$B36)</f>
        <v>0</v>
      </c>
      <c r="T37" s="75">
        <f>SUMIFS(Journal!$D$4:$D$10001,Journal!$B$4:$B$10001,T$5,Journal!$C$4:$C$10001,$B36)</f>
        <v>0</v>
      </c>
      <c r="U37" s="78">
        <f t="shared" si="3"/>
        <v>6.9444444444444441E-3</v>
      </c>
    </row>
    <row r="38" spans="1:21" ht="15" customHeight="1" x14ac:dyDescent="0.3">
      <c r="A38" s="37"/>
      <c r="B38" s="115" t="str">
        <f>Base!G18</f>
        <v>Configuartion de WDS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Ghielmini</v>
      </c>
      <c r="D39" s="75">
        <f>SUMIFS(Journal!$D$4:$D$10001,Journal!$B$4:$B$10001,D$5,Journal!$C$4:$C$10001,$B38)</f>
        <v>0</v>
      </c>
      <c r="E39" s="75">
        <f>SUMIFS(Journal!$D$4:$D$10001,Journal!$B$4:$B$10001,E$5,Journal!$C$4:$C$10001,$B38)</f>
        <v>0</v>
      </c>
      <c r="F39" s="75">
        <f>SUMIFS(Journal!$D$4:$D$10001,Journal!$B$4:$B$10001,F$5,Journal!$C$4:$C$10001,$B38)</f>
        <v>0</v>
      </c>
      <c r="G39" s="75">
        <f>SUMIFS(Journal!$D$4:$D$10001,Journal!$B$4:$B$10001,G$5,Journal!$C$4:$C$10001,$B38)</f>
        <v>0</v>
      </c>
      <c r="H39" s="75">
        <f>SUMIFS(Journal!$D$4:$D$10001,Journal!$B$4:$B$10001,H$5,Journal!$C$4:$C$10001,$B38)</f>
        <v>0</v>
      </c>
      <c r="I39" s="75">
        <f>SUMIFS(Journal!$D$4:$D$10001,Journal!$B$4:$B$10001,I$5,Journal!$C$4:$C$10001,$B38)</f>
        <v>0</v>
      </c>
      <c r="J39" s="75">
        <f>SUMIFS(Journal!$D$4:$D$10001,Journal!$B$4:$B$10001,J$5,Journal!$C$4:$C$10001,$B38)</f>
        <v>0</v>
      </c>
      <c r="K39" s="75">
        <f>SUMIFS(Journal!$D$4:$D$10001,Journal!$B$4:$B$10001,K$5,Journal!$C$4:$C$10001,$B38)</f>
        <v>0</v>
      </c>
      <c r="L39" s="75">
        <f>SUMIFS(Journal!$D$4:$D$10001,Journal!$B$4:$B$10001,L$5,Journal!$C$4:$C$10001,$B38)</f>
        <v>6.25E-2</v>
      </c>
      <c r="M39" s="75">
        <f>SUMIFS(Journal!$D$4:$D$10001,Journal!$B$4:$B$10001,M$5,Journal!$C$4:$C$10001,$B38)</f>
        <v>0</v>
      </c>
      <c r="N39" s="75">
        <f>SUMIFS(Journal!$D$4:$D$10001,Journal!$B$4:$B$10001,N$5,Journal!$C$4:$C$10001,$B38)</f>
        <v>0</v>
      </c>
      <c r="O39" s="75">
        <f>SUMIFS(Journal!$D$4:$D$10001,Journal!$B$4:$B$10001,O$5,Journal!$C$4:$C$10001,$B38)</f>
        <v>0</v>
      </c>
      <c r="P39" s="75">
        <f>SUMIFS(Journal!$D$4:$D$10001,Journal!$B$4:$B$10001,P$5,Journal!$C$4:$C$10001,$B38)</f>
        <v>0</v>
      </c>
      <c r="Q39" s="75">
        <f>SUMIFS(Journal!$D$4:$D$10001,Journal!$B$4:$B$10001,Q$5,Journal!$C$4:$C$10001,$B38)</f>
        <v>0</v>
      </c>
      <c r="R39" s="75">
        <f>SUMIFS(Journal!$D$4:$D$10001,Journal!$B$4:$B$10001,R$5,Journal!$C$4:$C$10001,$B38)</f>
        <v>0</v>
      </c>
      <c r="S39" s="75">
        <f>SUMIFS(Journal!$D$4:$D$10001,Journal!$B$4:$B$10001,S$5,Journal!$C$4:$C$10001,$B38)</f>
        <v>0</v>
      </c>
      <c r="T39" s="75">
        <f>SUMIFS(Journal!$D$4:$D$10001,Journal!$B$4:$B$10001,T$5,Journal!$C$4:$C$10001,$B38)</f>
        <v>0</v>
      </c>
      <c r="U39" s="78">
        <f t="shared" si="3"/>
        <v>6.25E-2</v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Ghielmini</v>
      </c>
      <c r="D41" s="75">
        <f>SUMIFS(Journal!$D$4:$D$10001,Journal!$B$4:$B$10001,D$5,Journal!$C$4:$C$10001,$B40)</f>
        <v>0</v>
      </c>
      <c r="E41" s="75">
        <f>SUMIFS(Journal!$D$4:$D$10001,Journal!$B$4:$B$10001,E$5,Journal!$C$4:$C$10001,$B40)</f>
        <v>0</v>
      </c>
      <c r="F41" s="75">
        <f>SUMIFS(Journal!$D$4:$D$10001,Journal!$B$4:$B$10001,F$5,Journal!$C$4:$C$10001,$B40)</f>
        <v>0</v>
      </c>
      <c r="G41" s="75">
        <f>SUMIFS(Journal!$D$4:$D$10001,Journal!$B$4:$B$10001,G$5,Journal!$C$4:$C$10001,$B40)</f>
        <v>0</v>
      </c>
      <c r="H41" s="75">
        <f>SUMIFS(Journal!$D$4:$D$10001,Journal!$B$4:$B$10001,H$5,Journal!$C$4:$C$10001,$B40)</f>
        <v>0</v>
      </c>
      <c r="I41" s="75">
        <f>SUMIFS(Journal!$D$4:$D$10001,Journal!$B$4:$B$10001,I$5,Journal!$C$4:$C$10001,$B40)</f>
        <v>0</v>
      </c>
      <c r="J41" s="75">
        <f>SUMIFS(Journal!$D$4:$D$10001,Journal!$B$4:$B$10001,J$5,Journal!$C$4:$C$10001,$B40)</f>
        <v>0</v>
      </c>
      <c r="K41" s="75">
        <f>SUMIFS(Journal!$D$4:$D$10001,Journal!$B$4:$B$10001,K$5,Journal!$C$4:$C$10001,$B40)</f>
        <v>0</v>
      </c>
      <c r="L41" s="75">
        <f>SUMIFS(Journal!$D$4:$D$10001,Journal!$B$4:$B$10001,L$5,Journal!$C$4:$C$10001,$B40)</f>
        <v>5.5555555555555552E-2</v>
      </c>
      <c r="M41" s="75">
        <f>SUMIFS(Journal!$D$4:$D$10001,Journal!$B$4:$B$10001,M$5,Journal!$C$4:$C$10001,$B40)</f>
        <v>0</v>
      </c>
      <c r="N41" s="75">
        <f>SUMIFS(Journal!$D$4:$D$10001,Journal!$B$4:$B$10001,N$5,Journal!$C$4:$C$10001,$B40)</f>
        <v>0</v>
      </c>
      <c r="O41" s="75">
        <f>SUMIFS(Journal!$D$4:$D$10001,Journal!$B$4:$B$10001,O$5,Journal!$C$4:$C$10001,$B40)</f>
        <v>0</v>
      </c>
      <c r="P41" s="75">
        <f>SUMIFS(Journal!$D$4:$D$10001,Journal!$B$4:$B$10001,P$5,Journal!$C$4:$C$10001,$B40)</f>
        <v>0</v>
      </c>
      <c r="Q41" s="75">
        <f>SUMIFS(Journal!$D$4:$D$10001,Journal!$B$4:$B$10001,Q$5,Journal!$C$4:$C$10001,$B40)</f>
        <v>0</v>
      </c>
      <c r="R41" s="75">
        <f>SUMIFS(Journal!$D$4:$D$10001,Journal!$B$4:$B$10001,R$5,Journal!$C$4:$C$10001,$B40)</f>
        <v>0</v>
      </c>
      <c r="S41" s="75">
        <f>SUMIFS(Journal!$D$4:$D$10001,Journal!$B$4:$B$10001,S$5,Journal!$C$4:$C$10001,$B40)</f>
        <v>0</v>
      </c>
      <c r="T41" s="75">
        <f>SUMIFS(Journal!$D$4:$D$10001,Journal!$B$4:$B$10001,T$5,Journal!$C$4:$C$10001,$B40)</f>
        <v>0</v>
      </c>
      <c r="U41" s="78">
        <f t="shared" si="3"/>
        <v>5.5555555555555552E-2</v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Ghielmini</v>
      </c>
      <c r="D43" s="75">
        <f>SUMIFS(Journal!$D$4:$D$10001,Journal!$B$4:$B$10001,D$5,Journal!$C$4:$C$10001,$B42)</f>
        <v>0</v>
      </c>
      <c r="E43" s="75">
        <f>SUMIFS(Journal!$D$4:$D$10001,Journal!$B$4:$B$10001,E$5,Journal!$C$4:$C$10001,$B42)</f>
        <v>0</v>
      </c>
      <c r="F43" s="75">
        <f>SUMIFS(Journal!$D$4:$D$10001,Journal!$B$4:$B$10001,F$5,Journal!$C$4:$C$10001,$B42)</f>
        <v>0</v>
      </c>
      <c r="G43" s="75">
        <f>SUMIFS(Journal!$D$4:$D$10001,Journal!$B$4:$B$10001,G$5,Journal!$C$4:$C$10001,$B42)</f>
        <v>0</v>
      </c>
      <c r="H43" s="75">
        <f>SUMIFS(Journal!$D$4:$D$10001,Journal!$B$4:$B$10001,H$5,Journal!$C$4:$C$10001,$B42)</f>
        <v>0</v>
      </c>
      <c r="I43" s="75">
        <f>SUMIFS(Journal!$D$4:$D$10001,Journal!$B$4:$B$10001,I$5,Journal!$C$4:$C$10001,$B42)</f>
        <v>0</v>
      </c>
      <c r="J43" s="75">
        <f>SUMIFS(Journal!$D$4:$D$10001,Journal!$B$4:$B$10001,J$5,Journal!$C$4:$C$10001,$B42)</f>
        <v>0</v>
      </c>
      <c r="K43" s="75">
        <f>SUMIFS(Journal!$D$4:$D$10001,Journal!$B$4:$B$10001,K$5,Journal!$C$4:$C$10001,$B42)</f>
        <v>0</v>
      </c>
      <c r="L43" s="75">
        <f>SUMIFS(Journal!$D$4:$D$10001,Journal!$B$4:$B$10001,L$5,Journal!$C$4:$C$10001,$B42)</f>
        <v>7.9861111111111105E-2</v>
      </c>
      <c r="M43" s="75">
        <f>SUMIFS(Journal!$D$4:$D$10001,Journal!$B$4:$B$10001,M$5,Journal!$C$4:$C$10001,$B42)</f>
        <v>0</v>
      </c>
      <c r="N43" s="75">
        <f>SUMIFS(Journal!$D$4:$D$10001,Journal!$B$4:$B$10001,N$5,Journal!$C$4:$C$10001,$B42)</f>
        <v>4.1666666666666664E-2</v>
      </c>
      <c r="O43" s="75">
        <f>SUMIFS(Journal!$D$4:$D$10001,Journal!$B$4:$B$10001,O$5,Journal!$C$4:$C$10001,$B42)</f>
        <v>0</v>
      </c>
      <c r="P43" s="75">
        <f>SUMIFS(Journal!$D$4:$D$10001,Journal!$B$4:$B$10001,P$5,Journal!$C$4:$C$10001,$B42)</f>
        <v>0.15277777777777779</v>
      </c>
      <c r="Q43" s="75">
        <f>SUMIFS(Journal!$D$4:$D$10001,Journal!$B$4:$B$10001,Q$5,Journal!$C$4:$C$10001,$B42)</f>
        <v>0</v>
      </c>
      <c r="R43" s="75">
        <f>SUMIFS(Journal!$D$4:$D$10001,Journal!$B$4:$B$10001,R$5,Journal!$C$4:$C$10001,$B42)</f>
        <v>0</v>
      </c>
      <c r="S43" s="75">
        <f>SUMIFS(Journal!$D$4:$D$10001,Journal!$B$4:$B$10001,S$5,Journal!$C$4:$C$10001,$B42)</f>
        <v>0</v>
      </c>
      <c r="T43" s="75">
        <f>SUMIFS(Journal!$D$4:$D$10001,Journal!$B$4:$B$10001,T$5,Journal!$C$4:$C$10001,$B42)</f>
        <v>0</v>
      </c>
      <c r="U43" s="78">
        <f t="shared" si="1"/>
        <v>0.27430555555555558</v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Ghielmini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Ghielmini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Ghielmini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Ghielmini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Ghielmini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Ghielmini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0.44444444444444448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Ghielmini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Ghielmini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1.7361111111111112E-2</v>
      </c>
      <c r="K63" s="77"/>
      <c r="L63" s="75">
        <f>SUMIFS(Journal!$D$4:$D$10001,Journal!$B$4:$B$10001,L$5,Journal!$C$4:$C$10001,$B62)</f>
        <v>6.9444444444444441E-3</v>
      </c>
      <c r="M63" s="76"/>
      <c r="N63" s="75">
        <f>SUMIFS(Journal!$D$4:$D$10001,Journal!$B$4:$B$10001,N$5,Journal!$C$4:$C$10001,$B62)</f>
        <v>6.9444444444444441E-3</v>
      </c>
      <c r="O63" s="76"/>
      <c r="P63" s="75">
        <f>SUMIFS(Journal!$D$4:$D$10001,Journal!$B$4:$B$10001,P$5,Journal!$C$4:$C$10001,$B62)</f>
        <v>1.0416666666666666E-2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>
        <f t="shared" si="5"/>
        <v>4.1666666666666664E-2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Ghielmini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6.5972222222222224E-2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0.2013888888888889</v>
      </c>
      <c r="O65" s="76"/>
      <c r="P65" s="75">
        <f>SUMIFS(Journal!$D$4:$D$10001,Journal!$B$4:$B$10001,P$5,Journal!$C$4:$C$10001,$B64)</f>
        <v>0.13541666666666669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>
        <f t="shared" si="5"/>
        <v>0.40277777777777779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Ghielmini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Ghielmini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Ghielmini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Ghielmini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Ghielmini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Ghielmini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Ghielmini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Ghielmini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Ghielmini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3" activePane="bottomLeft" state="frozen"/>
      <selection pane="bottomLeft" activeCell="F54" sqref="F54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 xml:space="preserve"> </v>
      </c>
      <c r="D1" s="24"/>
      <c r="E1" s="25">
        <f ca="1">TODAY()</f>
        <v>45001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51</v>
      </c>
    </row>
    <row r="5" spans="1:5" ht="30" x14ac:dyDescent="0.25">
      <c r="A5" s="16">
        <v>44957</v>
      </c>
      <c r="B5" s="29">
        <f t="shared" si="0"/>
        <v>5</v>
      </c>
      <c r="C5" s="1" t="s">
        <v>31</v>
      </c>
      <c r="D5" s="20">
        <v>6.25E-2</v>
      </c>
      <c r="E5" s="18" t="s">
        <v>52</v>
      </c>
    </row>
    <row r="6" spans="1:5" x14ac:dyDescent="0.25">
      <c r="A6" s="16">
        <v>44958</v>
      </c>
      <c r="B6" s="29">
        <f t="shared" si="0"/>
        <v>5</v>
      </c>
      <c r="C6" s="1" t="s">
        <v>29</v>
      </c>
      <c r="D6" s="20">
        <v>3.125E-2</v>
      </c>
      <c r="E6" s="18" t="s">
        <v>53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54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55</v>
      </c>
    </row>
    <row r="9" spans="1:5" x14ac:dyDescent="0.25">
      <c r="A9" s="16">
        <v>44964</v>
      </c>
      <c r="B9" s="29">
        <f t="shared" si="0"/>
        <v>6</v>
      </c>
      <c r="C9" s="1" t="s">
        <v>29</v>
      </c>
      <c r="D9" s="20">
        <v>4.1666666666666664E-2</v>
      </c>
      <c r="E9" s="18" t="s">
        <v>56</v>
      </c>
    </row>
    <row r="10" spans="1:5" x14ac:dyDescent="0.25">
      <c r="A10" s="16">
        <v>44965</v>
      </c>
      <c r="B10" s="29">
        <f t="shared" si="0"/>
        <v>6</v>
      </c>
      <c r="C10" s="1" t="s">
        <v>29</v>
      </c>
      <c r="D10" s="20">
        <v>6.25E-2</v>
      </c>
      <c r="E10" s="18" t="s">
        <v>57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58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59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60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31</v>
      </c>
      <c r="D14" s="20">
        <v>3.125E-2</v>
      </c>
      <c r="E14" s="18" t="s">
        <v>63</v>
      </c>
    </row>
    <row r="15" spans="1:5" x14ac:dyDescent="0.25">
      <c r="A15" s="16">
        <v>44978</v>
      </c>
      <c r="B15" s="29">
        <f t="shared" si="1"/>
        <v>8</v>
      </c>
      <c r="C15" s="1" t="s">
        <v>32</v>
      </c>
      <c r="D15" s="20">
        <v>3.125E-2</v>
      </c>
      <c r="E15" s="18" t="s">
        <v>61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32</v>
      </c>
      <c r="D16" s="20">
        <v>1.0416666666666666E-2</v>
      </c>
      <c r="E16" s="18" t="s">
        <v>62</v>
      </c>
    </row>
    <row r="17" spans="1:5" ht="30" x14ac:dyDescent="0.25">
      <c r="A17" s="16">
        <v>44978</v>
      </c>
      <c r="B17" s="29">
        <f t="shared" si="2"/>
        <v>8</v>
      </c>
      <c r="C17" s="1" t="s">
        <v>24</v>
      </c>
      <c r="D17" s="20">
        <v>1.0416666666666666E-2</v>
      </c>
      <c r="E17" s="18" t="s">
        <v>74</v>
      </c>
    </row>
    <row r="18" spans="1:5" x14ac:dyDescent="0.25">
      <c r="A18" s="16">
        <v>44978</v>
      </c>
      <c r="B18" s="29">
        <f t="shared" si="2"/>
        <v>8</v>
      </c>
      <c r="C18" s="1" t="s">
        <v>23</v>
      </c>
      <c r="D18" s="20">
        <v>1.0416666666666666E-2</v>
      </c>
      <c r="E18" s="18" t="s">
        <v>64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45</v>
      </c>
      <c r="D19" s="20">
        <v>1.3888888888888888E-2</v>
      </c>
      <c r="E19" s="18" t="s">
        <v>65</v>
      </c>
    </row>
    <row r="20" spans="1:5" x14ac:dyDescent="0.25">
      <c r="A20" s="16">
        <v>44979</v>
      </c>
      <c r="B20" s="29">
        <f t="shared" si="2"/>
        <v>8</v>
      </c>
      <c r="C20" s="1" t="s">
        <v>39</v>
      </c>
      <c r="D20" s="20">
        <v>6.9444444444444441E-3</v>
      </c>
      <c r="E20" s="18" t="s">
        <v>66</v>
      </c>
    </row>
    <row r="21" spans="1:5" x14ac:dyDescent="0.25">
      <c r="A21" s="16">
        <v>44979</v>
      </c>
      <c r="B21" s="29">
        <f t="shared" si="2"/>
        <v>8</v>
      </c>
      <c r="C21" s="1" t="s">
        <v>38</v>
      </c>
      <c r="D21" s="20">
        <v>2.0833333333333332E-2</v>
      </c>
      <c r="E21" s="18" t="s">
        <v>67</v>
      </c>
    </row>
    <row r="22" spans="1:5" x14ac:dyDescent="0.25">
      <c r="A22" s="16">
        <v>44979</v>
      </c>
      <c r="B22" s="29">
        <f t="shared" si="2"/>
        <v>8</v>
      </c>
      <c r="C22" s="1" t="s">
        <v>42</v>
      </c>
      <c r="D22" s="20">
        <v>2.0833333333333332E-2</v>
      </c>
      <c r="E22" s="18" t="s">
        <v>68</v>
      </c>
    </row>
    <row r="23" spans="1:5" x14ac:dyDescent="0.25">
      <c r="A23" s="16">
        <v>44979</v>
      </c>
      <c r="B23" s="29">
        <f t="shared" si="2"/>
        <v>8</v>
      </c>
      <c r="C23" s="1" t="s">
        <v>40</v>
      </c>
      <c r="D23" s="20">
        <v>1.0416666666666666E-2</v>
      </c>
      <c r="E23" s="18" t="s">
        <v>69</v>
      </c>
    </row>
    <row r="24" spans="1:5" x14ac:dyDescent="0.25">
      <c r="A24" s="16">
        <v>44979</v>
      </c>
      <c r="B24" s="29">
        <f t="shared" si="2"/>
        <v>8</v>
      </c>
      <c r="C24" s="1" t="s">
        <v>41</v>
      </c>
      <c r="D24" s="20">
        <v>4.1666666666666664E-2</v>
      </c>
      <c r="E24" s="18" t="s">
        <v>70</v>
      </c>
    </row>
    <row r="25" spans="1:5" x14ac:dyDescent="0.25">
      <c r="A25" s="16">
        <v>44980</v>
      </c>
      <c r="B25" s="29">
        <f t="shared" si="2"/>
        <v>8</v>
      </c>
      <c r="C25" s="1" t="s">
        <v>29</v>
      </c>
      <c r="D25" s="20">
        <v>3.125E-2</v>
      </c>
      <c r="E25" s="18" t="s">
        <v>71</v>
      </c>
    </row>
    <row r="26" spans="1:5" x14ac:dyDescent="0.25">
      <c r="A26" s="16">
        <v>44980</v>
      </c>
      <c r="B26" s="29">
        <f t="shared" si="2"/>
        <v>8</v>
      </c>
      <c r="C26" s="1" t="s">
        <v>41</v>
      </c>
      <c r="D26" s="20">
        <v>5.2083333333333336E-2</v>
      </c>
      <c r="E26" s="18" t="s">
        <v>72</v>
      </c>
    </row>
    <row r="27" spans="1:5" ht="30" x14ac:dyDescent="0.25">
      <c r="A27" s="16">
        <v>44980</v>
      </c>
      <c r="B27" s="29">
        <f t="shared" si="2"/>
        <v>8</v>
      </c>
      <c r="C27" s="1" t="s">
        <v>29</v>
      </c>
      <c r="D27" s="20">
        <v>1.3888888888888888E-2</v>
      </c>
      <c r="E27" s="18" t="s">
        <v>73</v>
      </c>
    </row>
    <row r="28" spans="1:5" ht="30" x14ac:dyDescent="0.25">
      <c r="A28" s="16">
        <v>44980</v>
      </c>
      <c r="B28" s="29">
        <f t="shared" si="2"/>
        <v>8</v>
      </c>
      <c r="C28" s="1" t="s">
        <v>24</v>
      </c>
      <c r="D28" s="20">
        <v>5.5555555555555552E-2</v>
      </c>
      <c r="E28" s="18" t="s">
        <v>75</v>
      </c>
    </row>
    <row r="29" spans="1:5" x14ac:dyDescent="0.25">
      <c r="A29" s="16">
        <v>44980</v>
      </c>
      <c r="B29" s="29">
        <f t="shared" si="2"/>
        <v>8</v>
      </c>
      <c r="C29" s="1" t="s">
        <v>23</v>
      </c>
      <c r="D29" s="20">
        <v>6.9444444444444441E-3</v>
      </c>
      <c r="E29" s="18" t="s">
        <v>64</v>
      </c>
    </row>
    <row r="30" spans="1:5" x14ac:dyDescent="0.25">
      <c r="A30" s="17">
        <v>44985</v>
      </c>
      <c r="B30" s="30">
        <f t="shared" si="2"/>
        <v>9</v>
      </c>
      <c r="C30" s="2" t="s">
        <v>43</v>
      </c>
      <c r="D30" s="21">
        <v>6.9444444444444441E-3</v>
      </c>
      <c r="E30" s="19" t="s">
        <v>76</v>
      </c>
    </row>
    <row r="31" spans="1:5" x14ac:dyDescent="0.25">
      <c r="A31" s="17">
        <v>44985</v>
      </c>
      <c r="B31" s="30">
        <f t="shared" si="2"/>
        <v>9</v>
      </c>
      <c r="C31" s="2" t="s">
        <v>77</v>
      </c>
      <c r="D31" s="21">
        <v>6.25E-2</v>
      </c>
      <c r="E31" s="19" t="s">
        <v>78</v>
      </c>
    </row>
    <row r="32" spans="1:5" x14ac:dyDescent="0.25">
      <c r="A32" s="17">
        <v>44985</v>
      </c>
      <c r="B32" s="30">
        <f t="shared" si="2"/>
        <v>9</v>
      </c>
      <c r="C32" s="2"/>
      <c r="D32" s="21">
        <v>2.4305555555555556E-2</v>
      </c>
      <c r="E32" s="19" t="s">
        <v>79</v>
      </c>
    </row>
    <row r="33" spans="1:5" ht="45" x14ac:dyDescent="0.25">
      <c r="A33" s="17">
        <v>44986</v>
      </c>
      <c r="B33" s="30">
        <f t="shared" si="2"/>
        <v>9</v>
      </c>
      <c r="C33" s="2" t="s">
        <v>32</v>
      </c>
      <c r="D33" s="21">
        <v>9.375E-2</v>
      </c>
      <c r="E33" s="19" t="s">
        <v>81</v>
      </c>
    </row>
    <row r="34" spans="1:5" x14ac:dyDescent="0.25">
      <c r="A34" s="17">
        <v>44986</v>
      </c>
      <c r="B34" s="30">
        <f t="shared" si="2"/>
        <v>9</v>
      </c>
      <c r="C34" s="2" t="s">
        <v>41</v>
      </c>
      <c r="D34" s="21">
        <v>1.3888888888888888E-2</v>
      </c>
      <c r="E34" s="19" t="s">
        <v>80</v>
      </c>
    </row>
    <row r="35" spans="1:5" x14ac:dyDescent="0.25">
      <c r="A35" s="17">
        <v>44986</v>
      </c>
      <c r="B35" s="30">
        <f t="shared" si="2"/>
        <v>9</v>
      </c>
      <c r="C35" s="2" t="s">
        <v>44</v>
      </c>
      <c r="D35" s="21">
        <v>1.3888888888888888E-2</v>
      </c>
      <c r="E35" s="19" t="s">
        <v>82</v>
      </c>
    </row>
    <row r="36" spans="1:5" x14ac:dyDescent="0.25">
      <c r="A36" s="17">
        <v>44986</v>
      </c>
      <c r="B36" s="30">
        <f t="shared" si="2"/>
        <v>9</v>
      </c>
      <c r="C36" s="2" t="s">
        <v>23</v>
      </c>
      <c r="D36" s="21">
        <v>3.472222222222222E-3</v>
      </c>
      <c r="E36" s="19" t="s">
        <v>64</v>
      </c>
    </row>
    <row r="37" spans="1:5" x14ac:dyDescent="0.25">
      <c r="A37" s="17">
        <v>44987</v>
      </c>
      <c r="B37" s="30">
        <f t="shared" si="2"/>
        <v>9</v>
      </c>
      <c r="C37" s="2" t="s">
        <v>44</v>
      </c>
      <c r="D37" s="21">
        <v>4.1666666666666664E-2</v>
      </c>
      <c r="E37" s="19" t="s">
        <v>83</v>
      </c>
    </row>
    <row r="38" spans="1:5" x14ac:dyDescent="0.25">
      <c r="A38" s="17">
        <v>44987</v>
      </c>
      <c r="B38" s="30">
        <f t="shared" si="2"/>
        <v>9</v>
      </c>
      <c r="C38" s="2" t="s">
        <v>46</v>
      </c>
      <c r="D38" s="21">
        <v>7.9861111111111105E-2</v>
      </c>
      <c r="E38" s="19" t="s">
        <v>84</v>
      </c>
    </row>
    <row r="39" spans="1:5" x14ac:dyDescent="0.25">
      <c r="A39" s="17">
        <v>44987</v>
      </c>
      <c r="B39" s="30">
        <f t="shared" si="2"/>
        <v>9</v>
      </c>
      <c r="C39" s="2" t="s">
        <v>23</v>
      </c>
      <c r="D39" s="21">
        <v>3.472222222222222E-3</v>
      </c>
      <c r="E39" s="19" t="s">
        <v>64</v>
      </c>
    </row>
    <row r="40" spans="1:5" ht="30" x14ac:dyDescent="0.25">
      <c r="A40" s="17">
        <v>44992</v>
      </c>
      <c r="B40" s="30">
        <f t="shared" si="2"/>
        <v>10</v>
      </c>
      <c r="C40" s="2" t="s">
        <v>24</v>
      </c>
      <c r="D40" s="21">
        <v>6.25E-2</v>
      </c>
      <c r="E40" s="19" t="s">
        <v>85</v>
      </c>
    </row>
    <row r="41" spans="1:5" ht="30" x14ac:dyDescent="0.25">
      <c r="A41" s="17">
        <v>44993</v>
      </c>
      <c r="B41" s="30">
        <f t="shared" si="2"/>
        <v>10</v>
      </c>
      <c r="C41" s="2" t="s">
        <v>24</v>
      </c>
      <c r="D41" s="21">
        <v>7.6388888888888881E-2</v>
      </c>
      <c r="E41" s="19" t="s">
        <v>86</v>
      </c>
    </row>
    <row r="42" spans="1:5" x14ac:dyDescent="0.25">
      <c r="A42" s="17">
        <v>44993</v>
      </c>
      <c r="B42" s="30">
        <f t="shared" si="2"/>
        <v>10</v>
      </c>
      <c r="C42" s="2" t="s">
        <v>23</v>
      </c>
      <c r="D42" s="21">
        <v>3.472222222222222E-3</v>
      </c>
      <c r="E42" s="19" t="s">
        <v>64</v>
      </c>
    </row>
    <row r="43" spans="1:5" x14ac:dyDescent="0.25">
      <c r="A43" s="17">
        <v>44994</v>
      </c>
      <c r="B43" s="30">
        <f t="shared" si="2"/>
        <v>10</v>
      </c>
      <c r="C43" s="2" t="s">
        <v>46</v>
      </c>
      <c r="D43" s="21">
        <v>4.1666666666666664E-2</v>
      </c>
      <c r="E43" s="19" t="s">
        <v>87</v>
      </c>
    </row>
    <row r="44" spans="1:5" x14ac:dyDescent="0.25">
      <c r="A44" s="17">
        <v>44994</v>
      </c>
      <c r="B44" s="30">
        <f t="shared" si="2"/>
        <v>10</v>
      </c>
      <c r="C44" s="2" t="s">
        <v>24</v>
      </c>
      <c r="D44" s="21">
        <v>6.25E-2</v>
      </c>
      <c r="E44" s="19" t="s">
        <v>88</v>
      </c>
    </row>
    <row r="45" spans="1:5" x14ac:dyDescent="0.25">
      <c r="A45" s="17">
        <v>44994</v>
      </c>
      <c r="B45" s="30">
        <f t="shared" si="2"/>
        <v>10</v>
      </c>
      <c r="C45" s="2" t="s">
        <v>23</v>
      </c>
      <c r="D45" s="21">
        <v>3.472222222222222E-3</v>
      </c>
      <c r="E45" s="19" t="s">
        <v>64</v>
      </c>
    </row>
    <row r="46" spans="1:5" ht="30" x14ac:dyDescent="0.25">
      <c r="A46" s="17">
        <v>44999</v>
      </c>
      <c r="B46" s="30">
        <f t="shared" si="2"/>
        <v>11</v>
      </c>
      <c r="C46" s="2" t="s">
        <v>46</v>
      </c>
      <c r="D46" s="21">
        <v>9.0277777777777776E-2</v>
      </c>
      <c r="E46" s="19" t="s">
        <v>89</v>
      </c>
    </row>
    <row r="47" spans="1:5" x14ac:dyDescent="0.25">
      <c r="A47" s="17">
        <v>44999</v>
      </c>
      <c r="B47" s="30">
        <f t="shared" si="2"/>
        <v>11</v>
      </c>
      <c r="C47" s="2" t="s">
        <v>23</v>
      </c>
      <c r="D47" s="21">
        <v>3.472222222222222E-3</v>
      </c>
      <c r="E47" s="19" t="s">
        <v>64</v>
      </c>
    </row>
    <row r="48" spans="1:5" x14ac:dyDescent="0.25">
      <c r="A48" s="17">
        <v>45000</v>
      </c>
      <c r="B48" s="30">
        <f t="shared" si="2"/>
        <v>11</v>
      </c>
      <c r="C48" s="2" t="s">
        <v>46</v>
      </c>
      <c r="D48" s="21">
        <v>6.25E-2</v>
      </c>
      <c r="E48" s="19" t="s">
        <v>90</v>
      </c>
    </row>
    <row r="49" spans="1:5" ht="30" x14ac:dyDescent="0.25">
      <c r="A49" s="17">
        <v>45000</v>
      </c>
      <c r="B49" s="30">
        <f t="shared" si="2"/>
        <v>11</v>
      </c>
      <c r="C49" s="2" t="s">
        <v>24</v>
      </c>
      <c r="D49" s="21">
        <v>6.25E-2</v>
      </c>
      <c r="E49" s="19" t="s">
        <v>91</v>
      </c>
    </row>
    <row r="50" spans="1:5" x14ac:dyDescent="0.25">
      <c r="A50" s="17">
        <v>45000</v>
      </c>
      <c r="B50" s="30">
        <f t="shared" si="2"/>
        <v>11</v>
      </c>
      <c r="C50" s="2" t="s">
        <v>23</v>
      </c>
      <c r="D50" s="21">
        <v>3.472222222222222E-3</v>
      </c>
      <c r="E50" s="19" t="s">
        <v>64</v>
      </c>
    </row>
    <row r="51" spans="1:5" x14ac:dyDescent="0.25">
      <c r="A51" s="17">
        <v>45001</v>
      </c>
      <c r="B51" s="30">
        <f t="shared" si="2"/>
        <v>11</v>
      </c>
      <c r="C51" s="2" t="s">
        <v>24</v>
      </c>
      <c r="D51" s="21">
        <v>1.0416666666666666E-2</v>
      </c>
      <c r="E51" s="19" t="s">
        <v>92</v>
      </c>
    </row>
    <row r="52" spans="1:5" x14ac:dyDescent="0.25">
      <c r="A52" s="17">
        <v>45001</v>
      </c>
      <c r="B52" s="30">
        <f t="shared" si="2"/>
        <v>11</v>
      </c>
      <c r="C52" s="2" t="s">
        <v>29</v>
      </c>
      <c r="D52" s="21">
        <v>7.6388888888888895E-2</v>
      </c>
      <c r="E52" s="19" t="s">
        <v>93</v>
      </c>
    </row>
    <row r="53" spans="1:5" ht="30" x14ac:dyDescent="0.25">
      <c r="A53" s="17">
        <v>45001</v>
      </c>
      <c r="B53" s="30">
        <f t="shared" si="2"/>
        <v>11</v>
      </c>
      <c r="C53" s="2" t="s">
        <v>24</v>
      </c>
      <c r="D53" s="21">
        <v>6.25E-2</v>
      </c>
      <c r="E53" s="19" t="s">
        <v>94</v>
      </c>
    </row>
    <row r="54" spans="1:5" x14ac:dyDescent="0.25">
      <c r="A54" s="17">
        <v>45001</v>
      </c>
      <c r="B54" s="30">
        <f t="shared" si="2"/>
        <v>11</v>
      </c>
      <c r="C54" s="2" t="s">
        <v>23</v>
      </c>
      <c r="D54" s="21">
        <v>3.472222222222222E-3</v>
      </c>
      <c r="E54" s="19" t="s">
        <v>64</v>
      </c>
    </row>
    <row r="55" spans="1:5" x14ac:dyDescent="0.25">
      <c r="A55" s="17"/>
      <c r="B55" s="30">
        <f t="shared" si="2"/>
        <v>0</v>
      </c>
      <c r="C55" s="2"/>
      <c r="D55" s="21"/>
      <c r="E55" s="19"/>
    </row>
    <row r="56" spans="1:5" x14ac:dyDescent="0.25">
      <c r="A56" s="17"/>
      <c r="B56" s="30">
        <f t="shared" si="2"/>
        <v>0</v>
      </c>
      <c r="C56" s="2"/>
      <c r="D56" s="21"/>
      <c r="E56" s="19"/>
    </row>
    <row r="57" spans="1:5" x14ac:dyDescent="0.25">
      <c r="A57" s="17"/>
      <c r="B57" s="30">
        <f t="shared" si="2"/>
        <v>0</v>
      </c>
      <c r="C57" s="2"/>
      <c r="D57" s="21"/>
      <c r="E57" s="19"/>
    </row>
    <row r="58" spans="1:5" x14ac:dyDescent="0.25">
      <c r="A58" s="17"/>
      <c r="B58" s="30">
        <f t="shared" si="2"/>
        <v>0</v>
      </c>
      <c r="C58" s="2"/>
      <c r="D58" s="21"/>
      <c r="E58" s="19"/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2023-03-16T13:56:52Z</dcterms:modified>
</cp:coreProperties>
</file>