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A4" i="1"/>
  <c r="C39" i="1" s="1"/>
  <c r="D5" i="1"/>
  <c r="F2" i="1"/>
  <c r="F5" i="1" s="1"/>
  <c r="C41" i="1" l="1"/>
  <c r="C37" i="1"/>
  <c r="C43" i="1"/>
  <c r="C33" i="1"/>
  <c r="C35" i="1"/>
  <c r="C81" i="1"/>
  <c r="C9" i="1"/>
  <c r="C55" i="1"/>
  <c r="C67" i="1"/>
  <c r="C17" i="1"/>
  <c r="C19" i="1"/>
  <c r="C77" i="1"/>
  <c r="C85" i="1"/>
  <c r="C79" i="1"/>
  <c r="C75" i="1"/>
  <c r="C83" i="1"/>
  <c r="H2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T37" i="1" s="1"/>
  <c r="B70" i="6"/>
  <c r="B51" i="6"/>
  <c r="B39" i="6"/>
  <c r="B58" i="6"/>
  <c r="B45" i="6"/>
  <c r="B21" i="6"/>
  <c r="B27" i="6"/>
  <c r="B64" i="6"/>
  <c r="B88" i="6"/>
  <c r="B94" i="6"/>
  <c r="B82" i="6"/>
  <c r="T13" i="1" l="1"/>
  <c r="T65" i="1"/>
  <c r="T49" i="1"/>
  <c r="T11" i="1"/>
  <c r="T35" i="1"/>
  <c r="T83" i="1"/>
  <c r="T57" i="1"/>
  <c r="T15" i="1"/>
  <c r="T67" i="1"/>
  <c r="T33" i="1"/>
  <c r="T79" i="1"/>
  <c r="T31" i="1"/>
  <c r="T81" i="1"/>
  <c r="T63" i="1"/>
  <c r="T43" i="1"/>
  <c r="T51" i="1"/>
  <c r="T27" i="1"/>
  <c r="T77" i="1"/>
  <c r="T55" i="1"/>
  <c r="D39" i="1"/>
  <c r="D35" i="1"/>
  <c r="F27" i="1"/>
  <c r="F63" i="1"/>
  <c r="F15" i="1"/>
  <c r="F33" i="1"/>
  <c r="D85" i="1"/>
  <c r="D81" i="1"/>
  <c r="D69" i="1"/>
  <c r="F39" i="1"/>
  <c r="D37" i="1"/>
  <c r="F29" i="1"/>
  <c r="F81" i="1"/>
  <c r="D51" i="1"/>
  <c r="F41" i="1"/>
  <c r="F43" i="1"/>
  <c r="F35" i="1"/>
  <c r="F69" i="1"/>
  <c r="F31" i="1"/>
  <c r="D29" i="1"/>
  <c r="F65" i="1"/>
  <c r="D55" i="1"/>
  <c r="D65" i="1"/>
  <c r="F49" i="1"/>
  <c r="D53" i="1"/>
  <c r="F37" i="1"/>
  <c r="F13" i="1"/>
  <c r="F57" i="1"/>
  <c r="F83" i="1"/>
  <c r="D77" i="1"/>
  <c r="F17" i="1"/>
  <c r="F71" i="1"/>
  <c r="D71" i="1"/>
  <c r="D67" i="1"/>
  <c r="D15" i="1"/>
  <c r="D83" i="1"/>
  <c r="F79" i="1"/>
  <c r="D17" i="1"/>
  <c r="D43" i="1"/>
  <c r="F19" i="1"/>
  <c r="D25" i="1"/>
  <c r="D57" i="1"/>
  <c r="D33" i="1"/>
  <c r="D11" i="1"/>
  <c r="F25" i="1"/>
  <c r="F53" i="1"/>
  <c r="D31" i="1"/>
  <c r="F85" i="1"/>
  <c r="D79" i="1"/>
  <c r="F11" i="1"/>
  <c r="D19" i="1"/>
  <c r="F9" i="1"/>
  <c r="D41" i="1"/>
  <c r="D13" i="1"/>
  <c r="D27" i="1"/>
  <c r="D49" i="1"/>
  <c r="D63" i="1"/>
  <c r="F51" i="1"/>
  <c r="F55" i="1"/>
  <c r="F67" i="1"/>
  <c r="D75" i="1"/>
  <c r="H55" i="1"/>
  <c r="H41" i="1"/>
  <c r="H13" i="1"/>
  <c r="H65" i="1"/>
  <c r="H83" i="1"/>
  <c r="H63" i="1"/>
  <c r="H37" i="1"/>
  <c r="H11" i="1"/>
  <c r="H81" i="1"/>
  <c r="H71" i="1"/>
  <c r="H25" i="1"/>
  <c r="H43" i="1"/>
  <c r="H53" i="1"/>
  <c r="H19" i="1"/>
  <c r="H67" i="1"/>
  <c r="H27" i="1"/>
  <c r="H33" i="1"/>
  <c r="H57" i="1"/>
  <c r="H49" i="1"/>
  <c r="H17" i="1"/>
  <c r="H29" i="1"/>
  <c r="H35" i="1"/>
  <c r="H15" i="1"/>
  <c r="H69" i="1"/>
  <c r="H51" i="1"/>
  <c r="H77" i="1"/>
  <c r="H39" i="1"/>
  <c r="H85" i="1"/>
  <c r="H79" i="1"/>
  <c r="H31" i="1"/>
  <c r="J69" i="1"/>
  <c r="J41" i="1"/>
  <c r="J67" i="1"/>
  <c r="J71" i="1"/>
  <c r="J31" i="1"/>
  <c r="J17" i="1"/>
  <c r="J37" i="1"/>
  <c r="J15" i="1"/>
  <c r="J13" i="1"/>
  <c r="J55" i="1"/>
  <c r="J57" i="1"/>
  <c r="J43" i="1"/>
  <c r="J19" i="1"/>
  <c r="J51" i="1"/>
  <c r="J25" i="1"/>
  <c r="J81" i="1"/>
  <c r="J33" i="1"/>
  <c r="J27" i="1"/>
  <c r="J79" i="1"/>
  <c r="J35" i="1"/>
  <c r="J65" i="1"/>
  <c r="J29" i="1"/>
  <c r="J53" i="1"/>
  <c r="J83" i="1"/>
  <c r="J39" i="1"/>
  <c r="J11" i="1"/>
  <c r="J49" i="1"/>
  <c r="J85" i="1"/>
  <c r="J63" i="1"/>
  <c r="J77" i="1"/>
  <c r="L39" i="1"/>
  <c r="L13" i="1"/>
  <c r="L51" i="1"/>
  <c r="L15" i="1"/>
  <c r="L49" i="1"/>
  <c r="L41" i="1"/>
  <c r="L25" i="1"/>
  <c r="L55" i="1"/>
  <c r="L31" i="1"/>
  <c r="L53" i="1"/>
  <c r="L83" i="1"/>
  <c r="L33" i="1"/>
  <c r="L19" i="1"/>
  <c r="L37" i="1"/>
  <c r="L79" i="1"/>
  <c r="L67" i="1"/>
  <c r="L65" i="1"/>
  <c r="L81" i="1"/>
  <c r="L11" i="1"/>
  <c r="L43" i="1"/>
  <c r="L27" i="1"/>
  <c r="L29" i="1"/>
  <c r="L69" i="1"/>
  <c r="L77" i="1"/>
  <c r="L35" i="1"/>
  <c r="L85" i="1"/>
  <c r="L71" i="1"/>
  <c r="L63" i="1"/>
  <c r="L57" i="1"/>
  <c r="L17" i="1"/>
  <c r="N39" i="1"/>
  <c r="N85" i="1"/>
  <c r="N53" i="1"/>
  <c r="N81" i="1"/>
  <c r="N17" i="1"/>
  <c r="N11" i="1"/>
  <c r="N79" i="1"/>
  <c r="N71" i="1"/>
  <c r="N41" i="1"/>
  <c r="N19" i="1"/>
  <c r="N55" i="1"/>
  <c r="N13" i="1"/>
  <c r="N63" i="1"/>
  <c r="N43" i="1"/>
  <c r="N77" i="1"/>
  <c r="N49" i="1"/>
  <c r="N37" i="1"/>
  <c r="N25" i="1"/>
  <c r="N27" i="1"/>
  <c r="N57" i="1"/>
  <c r="N51" i="1"/>
  <c r="N83" i="1"/>
  <c r="N69" i="1"/>
  <c r="N33" i="1"/>
  <c r="N31" i="1"/>
  <c r="N65" i="1"/>
  <c r="N15" i="1"/>
  <c r="N67" i="1"/>
  <c r="N35" i="1"/>
  <c r="N29" i="1"/>
  <c r="P39" i="1"/>
  <c r="P27" i="1"/>
  <c r="P53" i="1"/>
  <c r="P67" i="1"/>
  <c r="P17" i="1"/>
  <c r="P83" i="1"/>
  <c r="P11" i="1"/>
  <c r="P65" i="1"/>
  <c r="P63" i="1"/>
  <c r="P41" i="1"/>
  <c r="P79" i="1"/>
  <c r="P55" i="1"/>
  <c r="P71" i="1"/>
  <c r="P13" i="1"/>
  <c r="P37" i="1"/>
  <c r="P49" i="1"/>
  <c r="P81" i="1"/>
  <c r="P69" i="1"/>
  <c r="P43" i="1"/>
  <c r="P15" i="1"/>
  <c r="P51" i="1"/>
  <c r="P31" i="1"/>
  <c r="P25" i="1"/>
  <c r="P85" i="1"/>
  <c r="P57" i="1"/>
  <c r="P33" i="1"/>
  <c r="P19" i="1"/>
  <c r="P29" i="1"/>
  <c r="P77" i="1"/>
  <c r="P35" i="1"/>
  <c r="R39" i="1"/>
  <c r="R85" i="1"/>
  <c r="R77" i="1"/>
  <c r="R19" i="1"/>
  <c r="R57" i="1"/>
  <c r="R79" i="1"/>
  <c r="R41" i="1"/>
  <c r="R63" i="1"/>
  <c r="R15" i="1"/>
  <c r="R27" i="1"/>
  <c r="R65" i="1"/>
  <c r="R51" i="1"/>
  <c r="R37" i="1"/>
  <c r="R81" i="1"/>
  <c r="R13" i="1"/>
  <c r="R31" i="1"/>
  <c r="R17" i="1"/>
  <c r="R67" i="1"/>
  <c r="R43" i="1"/>
  <c r="R69" i="1"/>
  <c r="R29" i="1"/>
  <c r="R49" i="1"/>
  <c r="R83" i="1"/>
  <c r="R33" i="1"/>
  <c r="R55" i="1"/>
  <c r="R35" i="1"/>
  <c r="R25" i="1"/>
  <c r="R71" i="1"/>
  <c r="R53" i="1"/>
  <c r="R11" i="1"/>
  <c r="T19" i="1"/>
  <c r="T17" i="1"/>
  <c r="T71" i="1"/>
  <c r="T29" i="1"/>
  <c r="T41" i="1"/>
  <c r="T69" i="1"/>
  <c r="T85" i="1"/>
  <c r="T53" i="1"/>
  <c r="T25" i="1"/>
  <c r="T39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<sst xmlns="http://schemas.openxmlformats.org/spreadsheetml/2006/main" count="94" uniqueCount="74">
  <si>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</si>
  <si>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</si>
  <si>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</si>
  <si>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</si>
  <si>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</si>
  <si>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</si>
  <si>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</si>
  <si>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</si>
  <si>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</si>
  <si>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</si>
  <si>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</si>
  <si>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</si>
  <si>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</si>
  <si>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</si>
  <si>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</si>
  <si>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</si>
  <si>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</si>
  <si>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N!</t>
  </si>
  <si>
    <t>P!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</si>
  <si>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</si>
  <si>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</si>
  <si>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</si>
  <si>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</si>
  <si>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</si>
  <si>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</si>
  <si>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</si>
  <si>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</si>
  <si>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</si>
  <si>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</si>
  <si>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</si>
  <si>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</si>
  <si>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</si>
  <si>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</si>
  <si>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</si>
  <si>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</si>
  <si>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</si>
  <si>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</si>
  <si>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</si>
  <si>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</si>
  <si>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</si>
  <si>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</si>
  <si>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</si>
  <si>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</si>
  <si>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</si>
  <si>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</si>
  <si>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</si>
  <si>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</si>
  <si>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Configuartion de l'AD DS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</si>
  <si>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</si>
  <si>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</si>
  <si>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</si>
  <si>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</si>
  <si>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</si>
  <si>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</si>
  <si>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</si>
  <si>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</si>
  <si>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</si>
  <si>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</si>
  <si>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</si>
  <si>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</si>
  <si>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</si>
  <si>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</si>
  <si>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</si>
  <si>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</si>
  <si>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</si>
  <si>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</si>
  <si>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</si>
  <si>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Début de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</si>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</sst>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G21" sqref="G21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19</v>
      </c>
      <c r="B4" s="11">
        <v>44957</v>
      </c>
      <c r="C4" s="12" t="s">
        <v>20</v>
      </c>
      <c r="D4" s="13" t="s">
        <v>21</v>
      </c>
      <c r="E4" s="5"/>
      <c r="F4" s="8" t="s">
        <v>29</v>
      </c>
      <c r="G4" s="14" t="s">
        <v>16</v>
      </c>
      <c r="H4" s="5"/>
    </row>
    <row r="5" spans="1:8" x14ac:dyDescent="0.25">
      <c r="A5" s="9"/>
      <c r="B5" s="5"/>
      <c r="C5" s="12" t="s">
        <v>17</v>
      </c>
      <c r="D5" s="13" t="s">
        <v>18</v>
      </c>
      <c r="E5" s="5"/>
      <c r="F5" s="3"/>
      <c r="G5" s="15" t="s">
        <v>31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32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33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30</v>
      </c>
      <c r="G10" s="8" t="s">
        <v>34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40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41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48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42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43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44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45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47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46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49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22</v>
      </c>
      <c r="G23" s="14" t="s">
        <v>35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36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37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38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39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23</v>
      </c>
      <c r="G29" s="8" t="s">
        <v>24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25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26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27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28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50</v>
      </c>
      <c r="G35" s="8" t="s">
        <v>51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52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53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opLeftCell="A10" zoomScale="70" zoomScaleNormal="70" zoomScalePageLayoutView="70" workbookViewId="0">
      <selection activeCell="Y21" sqref="Y21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Base!C5</f>
        <v>N!</v>
      </c>
      <c r="B4" s="54">
        <f>SUM(D4:T4)</f>
        <v>1.0416666666666665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0.18402777777777776</v>
      </c>
      <c r="K4" s="51"/>
      <c r="L4" s="52">
        <f>SUMIF($C$8:$C$9988,$C9,L$8:L$9988)</f>
        <v>0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0.45138888888888884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N!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N!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0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0.13541666666666666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N!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N!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N!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N!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0.13194444444444445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N!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0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4.1666666666666664E-2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N!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1.0416666666666666E-2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1.0416666666666666E-2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N!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N!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N!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N!</v>
      </c>
      <c r="D33" s="75">
        <f>SUMIFS(Journal!$D$4:$D$10001,Journal!$B$4:$B$10001,D$5,Journal!$C$4:$C$10001,#REF!)</f>
        <v>0</v>
      </c>
      <c r="E33" s="76"/>
      <c r="F33" s="75">
        <f>SUMIFS(Journal!$D$4:$D$10001,Journal!$B$4:$B$10001,F$5,Journal!$C$4:$C$10001,#REF!)</f>
        <v>0</v>
      </c>
      <c r="G33" s="76"/>
      <c r="H33" s="75">
        <f>SUMIFS(Journal!$D$4:$D$10001,Journal!$B$4:$B$10001,H$5,Journal!$C$4:$C$10001,#REF!)</f>
        <v>0</v>
      </c>
      <c r="I33" s="77"/>
      <c r="J33" s="75">
        <f>SUMIFS(Journal!$D$4:$D$10001,Journal!$B$4:$B$10001,J$5,Journal!$C$4:$C$10001,#REF!)</f>
        <v>0</v>
      </c>
      <c r="K33" s="77"/>
      <c r="L33" s="75">
        <f>SUMIFS(Journal!$D$4:$D$10001,Journal!$B$4:$B$10001,L$5,Journal!$C$4:$C$10001,#REF!)</f>
        <v>0</v>
      </c>
      <c r="M33" s="76"/>
      <c r="N33" s="75">
        <f>SUMIFS(Journal!$D$4:$D$10001,Journal!$B$4:$B$10001,N$5,Journal!$C$4:$C$10001,#REF!)</f>
        <v>0</v>
      </c>
      <c r="O33" s="76"/>
      <c r="P33" s="75">
        <f>SUMIFS(Journal!$D$4:$D$10001,Journal!$B$4:$B$10001,P$5,Journal!$C$4:$C$10001,#REF!)</f>
        <v>0</v>
      </c>
      <c r="Q33" s="76"/>
      <c r="R33" s="75">
        <f>SUMIFS(Journal!$D$4:$D$10001,Journal!$B$4:$B$10001,R$5,Journal!$C$4:$C$10001,#REF!)</f>
        <v>0</v>
      </c>
      <c r="S33" s="76"/>
      <c r="T33" s="75">
        <f>SUMIFS(Journal!$D$4:$D$10001,Journal!$B$4:$B$10001,T$5,Journal!$C$4:$C$10001,#REF!)</f>
        <v>0</v>
      </c>
      <c r="U33" s="78" t="str">
        <f t="shared" si="2"/>
        <v/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N!</v>
      </c>
      <c r="D35" s="75">
        <f>SUMIFS(Journal!$D$4:$D$10001,Journal!$B$4:$B$10001,D$5,Journal!$C$4:$C$10001,$B30)</f>
        <v>0</v>
      </c>
      <c r="E35" s="76"/>
      <c r="F35" s="75">
        <f>SUMIFS(Journal!$D$4:$D$10001,Journal!$B$4:$B$10001,F$5,Journal!$C$4:$C$10001,$B30)</f>
        <v>0</v>
      </c>
      <c r="G35" s="76"/>
      <c r="H35" s="75">
        <f>SUMIFS(Journal!$D$4:$D$10001,Journal!$B$4:$B$10001,H$5,Journal!$C$4:$C$10001,$B30)</f>
        <v>0</v>
      </c>
      <c r="I35" s="77"/>
      <c r="J35" s="75">
        <f>SUMIFS(Journal!$D$4:$D$10001,Journal!$B$4:$B$10001,J$5,Journal!$C$4:$C$10001,$B30)</f>
        <v>1.0416666666666666E-2</v>
      </c>
      <c r="K35" s="77"/>
      <c r="L35" s="75">
        <f>SUMIFS(Journal!$D$4:$D$10001,Journal!$B$4:$B$10001,L$5,Journal!$C$4:$C$10001,$B30)</f>
        <v>0</v>
      </c>
      <c r="M35" s="76"/>
      <c r="N35" s="75">
        <f>SUMIFS(Journal!$D$4:$D$10001,Journal!$B$4:$B$10001,N$5,Journal!$C$4:$C$10001,$B30)</f>
        <v>0</v>
      </c>
      <c r="O35" s="76"/>
      <c r="P35" s="75">
        <f>SUMIFS(Journal!$D$4:$D$10001,Journal!$B$4:$B$10001,P$5,Journal!$C$4:$C$10001,$B30)</f>
        <v>0</v>
      </c>
      <c r="Q35" s="76"/>
      <c r="R35" s="75">
        <f>SUMIFS(Journal!$D$4:$D$10001,Journal!$B$4:$B$10001,R$5,Journal!$C$4:$C$10001,$B30)</f>
        <v>0</v>
      </c>
      <c r="S35" s="76"/>
      <c r="T35" s="75">
        <f>SUMIFS(Journal!$D$4:$D$10001,Journal!$B$4:$B$10001,T$5,Journal!$C$4:$C$10001,$B30)</f>
        <v>0</v>
      </c>
      <c r="U35" s="78">
        <f t="shared" si="3"/>
        <v>1.0416666666666666E-2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N!</v>
      </c>
      <c r="D37" s="75">
        <f>SUMIFS(Journal!$D$4:$D$10001,Journal!$B$4:$B$10001,D$5,Journal!$C$4:$C$10001,$B28)</f>
        <v>0</v>
      </c>
      <c r="E37" s="76"/>
      <c r="F37" s="75">
        <f>SUMIFS(Journal!$D$4:$D$10001,Journal!$B$4:$B$10001,F$5,Journal!$C$4:$C$10001,$B28)</f>
        <v>0</v>
      </c>
      <c r="G37" s="76"/>
      <c r="H37" s="75">
        <f>SUMIFS(Journal!$D$4:$D$10001,Journal!$B$4:$B$10001,H$5,Journal!$C$4:$C$10001,$B28)</f>
        <v>0</v>
      </c>
      <c r="I37" s="77"/>
      <c r="J37" s="75">
        <f>SUMIFS(Journal!$D$4:$D$10001,Journal!$B$4:$B$10001,J$5,Journal!$C$4:$C$10001,$B28)</f>
        <v>1.3888888888888888E-2</v>
      </c>
      <c r="K37" s="77"/>
      <c r="L37" s="75">
        <f>SUMIFS(Journal!$D$4:$D$10001,Journal!$B$4:$B$10001,L$5,Journal!$C$4:$C$10001,$B28)</f>
        <v>0</v>
      </c>
      <c r="M37" s="76"/>
      <c r="N37" s="75">
        <f>SUMIFS(Journal!$D$4:$D$10001,Journal!$B$4:$B$10001,N$5,Journal!$C$4:$C$10001,$B28)</f>
        <v>0</v>
      </c>
      <c r="O37" s="76"/>
      <c r="P37" s="75">
        <f>SUMIFS(Journal!$D$4:$D$10001,Journal!$B$4:$B$10001,P$5,Journal!$C$4:$C$10001,$B28)</f>
        <v>0</v>
      </c>
      <c r="Q37" s="76"/>
      <c r="R37" s="75">
        <f>SUMIFS(Journal!$D$4:$D$10001,Journal!$B$4:$B$10001,R$5,Journal!$C$4:$C$10001,$B28)</f>
        <v>0</v>
      </c>
      <c r="S37" s="76"/>
      <c r="T37" s="75">
        <f>SUMIFS(Journal!$D$4:$D$10001,Journal!$B$4:$B$10001,T$5,Journal!$C$4:$C$10001,$B28)</f>
        <v>0</v>
      </c>
      <c r="U37" s="78">
        <f t="shared" si="3"/>
        <v>1.3888888888888888E-2</v>
      </c>
    </row>
    <row r="38" spans="1:21" ht="15" customHeight="1" x14ac:dyDescent="0.3">
      <c r="A38" s="37"/>
      <c r="B38" s="115" t="str">
        <f>Base!G18</f>
        <v>Configuartion de l'AD 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N!</v>
      </c>
      <c r="D39" s="75">
        <f>SUMIFS(Journal!$D$4:$D$10001,Journal!$B$4:$B$10001,D$5,Journal!$C$4:$C$10001,$B28)</f>
        <v>0</v>
      </c>
      <c r="E39" s="76"/>
      <c r="F39" s="75">
        <f>SUMIFS(Journal!$D$4:$D$10001,Journal!$B$4:$B$10001,F$5,Journal!$C$4:$C$10001,$B28)</f>
        <v>0</v>
      </c>
      <c r="G39" s="76"/>
      <c r="H39" s="75">
        <f>SUMIFS(Journal!$D$4:$D$10001,Journal!$B$4:$B$10001,H$5,Journal!$C$4:$C$10001,$B28)</f>
        <v>0</v>
      </c>
      <c r="I39" s="77"/>
      <c r="J39" s="75">
        <f>SUMIFS(Journal!$D$4:$D$10001,Journal!$B$4:$B$10001,J$5,Journal!$C$4:$C$10001,$B28)</f>
        <v>1.3888888888888888E-2</v>
      </c>
      <c r="K39" s="77"/>
      <c r="L39" s="75">
        <f>SUMIFS(Journal!$D$4:$D$10001,Journal!$B$4:$B$10001,L$5,Journal!$C$4:$C$10001,$B28)</f>
        <v>0</v>
      </c>
      <c r="M39" s="76"/>
      <c r="N39" s="75">
        <f>SUMIFS(Journal!$D$4:$D$10001,Journal!$B$4:$B$10001,N$5,Journal!$C$4:$C$10001,$B28)</f>
        <v>0</v>
      </c>
      <c r="O39" s="76"/>
      <c r="P39" s="75">
        <f>SUMIFS(Journal!$D$4:$D$10001,Journal!$B$4:$B$10001,P$5,Journal!$C$4:$C$10001,$B28)</f>
        <v>0</v>
      </c>
      <c r="Q39" s="76"/>
      <c r="R39" s="75">
        <f>SUMIFS(Journal!$D$4:$D$10001,Journal!$B$4:$B$10001,R$5,Journal!$C$4:$C$10001,$B28)</f>
        <v>0</v>
      </c>
      <c r="S39" s="76"/>
      <c r="T39" s="75">
        <f>SUMIFS(Journal!$D$4:$D$10001,Journal!$B$4:$B$10001,T$5,Journal!$C$4:$C$10001,$B28)</f>
        <v>0</v>
      </c>
      <c r="U39" s="78">
        <f t="shared" si="3"/>
        <v>1.3888888888888888E-2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N!</v>
      </c>
      <c r="D41" s="75">
        <f>SUMIFS(Journal!$D$4:$D$10001,Journal!$B$4:$B$10001,D$5,Journal!$C$4:$C$10001,$B30)</f>
        <v>0</v>
      </c>
      <c r="E41" s="76"/>
      <c r="F41" s="75">
        <f>SUMIFS(Journal!$D$4:$D$10001,Journal!$B$4:$B$10001,F$5,Journal!$C$4:$C$10001,$B30)</f>
        <v>0</v>
      </c>
      <c r="G41" s="76"/>
      <c r="H41" s="75">
        <f>SUMIFS(Journal!$D$4:$D$10001,Journal!$B$4:$B$10001,H$5,Journal!$C$4:$C$10001,$B30)</f>
        <v>0</v>
      </c>
      <c r="I41" s="77"/>
      <c r="J41" s="75">
        <f>SUMIFS(Journal!$D$4:$D$10001,Journal!$B$4:$B$10001,J$5,Journal!$C$4:$C$10001,$B30)</f>
        <v>1.0416666666666666E-2</v>
      </c>
      <c r="K41" s="77"/>
      <c r="L41" s="75">
        <f>SUMIFS(Journal!$D$4:$D$10001,Journal!$B$4:$B$10001,L$5,Journal!$C$4:$C$10001,$B30)</f>
        <v>0</v>
      </c>
      <c r="M41" s="76"/>
      <c r="N41" s="75">
        <f>SUMIFS(Journal!$D$4:$D$10001,Journal!$B$4:$B$10001,N$5,Journal!$C$4:$C$10001,$B30)</f>
        <v>0</v>
      </c>
      <c r="O41" s="76"/>
      <c r="P41" s="75">
        <f>SUMIFS(Journal!$D$4:$D$10001,Journal!$B$4:$B$10001,P$5,Journal!$C$4:$C$10001,$B30)</f>
        <v>0</v>
      </c>
      <c r="Q41" s="76"/>
      <c r="R41" s="75">
        <f>SUMIFS(Journal!$D$4:$D$10001,Journal!$B$4:$B$10001,R$5,Journal!$C$4:$C$10001,$B30)</f>
        <v>0</v>
      </c>
      <c r="S41" s="76"/>
      <c r="T41" s="75">
        <f>SUMIFS(Journal!$D$4:$D$10001,Journal!$B$4:$B$10001,T$5,Journal!$C$4:$C$10001,$B30)</f>
        <v>0</v>
      </c>
      <c r="U41" s="78">
        <f t="shared" si="3"/>
        <v>1.0416666666666666E-2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N!</v>
      </c>
      <c r="D43" s="75">
        <f>SUMIFS(Journal!$D$4:$D$10001,Journal!$B$4:$B$10001,D$5,Journal!$C$4:$C$10001,$B32)</f>
        <v>0</v>
      </c>
      <c r="E43" s="76"/>
      <c r="F43" s="75">
        <f>SUMIFS(Journal!$D$4:$D$10001,Journal!$B$4:$B$10001,F$5,Journal!$C$4:$C$10001,$B32)</f>
        <v>0</v>
      </c>
      <c r="G43" s="76"/>
      <c r="H43" s="75">
        <f>SUMIFS(Journal!$D$4:$D$10001,Journal!$B$4:$B$10001,H$5,Journal!$C$4:$C$10001,$B32)</f>
        <v>0</v>
      </c>
      <c r="I43" s="77"/>
      <c r="J43" s="75">
        <f>SUMIFS(Journal!$D$4:$D$10001,Journal!$B$4:$B$10001,J$5,Journal!$C$4:$C$10001,$B32)</f>
        <v>0</v>
      </c>
      <c r="K43" s="77"/>
      <c r="L43" s="75">
        <f>SUMIFS(Journal!$D$4:$D$10001,Journal!$B$4:$B$10001,L$5,Journal!$C$4:$C$10001,$B32)</f>
        <v>0</v>
      </c>
      <c r="M43" s="76"/>
      <c r="N43" s="75">
        <f>SUMIFS(Journal!$D$4:$D$10001,Journal!$B$4:$B$10001,N$5,Journal!$C$4:$C$10001,$B32)</f>
        <v>0</v>
      </c>
      <c r="O43" s="76"/>
      <c r="P43" s="75">
        <f>SUMIFS(Journal!$D$4:$D$10001,Journal!$B$4:$B$10001,P$5,Journal!$C$4:$C$10001,$B32)</f>
        <v>0</v>
      </c>
      <c r="Q43" s="76"/>
      <c r="R43" s="75">
        <f>SUMIFS(Journal!$D$4:$D$10001,Journal!$B$4:$B$10001,R$5,Journal!$C$4:$C$10001,$B32)</f>
        <v>0</v>
      </c>
      <c r="S43" s="76"/>
      <c r="T43" s="75">
        <f>SUMIFS(Journal!$D$4:$D$10001,Journal!$B$4:$B$10001,T$5,Journal!$C$4:$C$10001,$B32)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N!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N!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N!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N!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N!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N!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2.0833333333333332E-2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N!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N!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1.0416666666666666E-2</v>
      </c>
      <c r="K63" s="77"/>
      <c r="L63" s="75">
        <f>SUMIFS(Journal!$D$4:$D$10001,Journal!$B$4:$B$10001,L$5,Journal!$C$4:$C$10001,$B62)</f>
        <v>0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1.0416666666666666E-2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N!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1.0416666666666666E-2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1.0416666666666666E-2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N!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N!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N!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N!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N!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N!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N!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N!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N!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4" activePane="bottomLeft" state="frozen"/>
      <selection pane="bottomLeft" activeCell="I15" sqref="I15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>N! P!</v>
      </c>
      <c r="D1" s="24"/>
      <c r="E1" s="25">
        <f ca="1">TODAY()</f>
        <v>44979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54</v>
      </c>
    </row>
    <row r="5" spans="1:5" ht="30" x14ac:dyDescent="0.25">
      <c r="A5" s="16">
        <v>44957</v>
      </c>
      <c r="B5" s="29">
        <f t="shared" si="0"/>
        <v>5</v>
      </c>
      <c r="C5" s="1" t="s">
        <v>33</v>
      </c>
      <c r="D5" s="20">
        <v>6.25E-2</v>
      </c>
      <c r="E5" s="18" t="s">
        <v>55</v>
      </c>
    </row>
    <row r="6" spans="1:5" x14ac:dyDescent="0.25">
      <c r="A6" s="16">
        <v>44958</v>
      </c>
      <c r="B6" s="29">
        <f t="shared" si="0"/>
        <v>5</v>
      </c>
      <c r="C6" s="1" t="s">
        <v>31</v>
      </c>
      <c r="D6" s="20">
        <v>3.125E-2</v>
      </c>
      <c r="E6" s="18" t="s">
        <v>56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57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58</v>
      </c>
    </row>
    <row r="9" spans="1:5" x14ac:dyDescent="0.25">
      <c r="A9" s="16">
        <v>44964</v>
      </c>
      <c r="B9" s="29">
        <f t="shared" si="0"/>
        <v>6</v>
      </c>
      <c r="C9" s="1" t="s">
        <v>31</v>
      </c>
      <c r="D9" s="20">
        <v>4.1666666666666664E-2</v>
      </c>
      <c r="E9" s="18" t="s">
        <v>59</v>
      </c>
    </row>
    <row r="10" spans="1:5" x14ac:dyDescent="0.25">
      <c r="A10" s="16">
        <v>44965</v>
      </c>
      <c r="B10" s="29">
        <f t="shared" si="0"/>
        <v>6</v>
      </c>
      <c r="C10" s="1" t="s">
        <v>31</v>
      </c>
      <c r="D10" s="20">
        <v>6.25E-2</v>
      </c>
      <c r="E10" s="18" t="s">
        <v>60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61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62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63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33</v>
      </c>
      <c r="D14" s="20">
        <v>3.125E-2</v>
      </c>
      <c r="E14" s="18" t="s">
        <v>66</v>
      </c>
    </row>
    <row r="15" spans="1:5" x14ac:dyDescent="0.25">
      <c r="A15" s="16">
        <v>44978</v>
      </c>
      <c r="B15" s="29">
        <f t="shared" si="1"/>
        <v>8</v>
      </c>
      <c r="C15" s="1" t="s">
        <v>34</v>
      </c>
      <c r="D15" s="20">
        <v>3.125E-2</v>
      </c>
      <c r="E15" s="18" t="s">
        <v>64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34</v>
      </c>
      <c r="D16" s="20">
        <v>1.0416666666666666E-2</v>
      </c>
      <c r="E16" s="18" t="s">
        <v>65</v>
      </c>
    </row>
    <row r="17" spans="1:5" x14ac:dyDescent="0.25">
      <c r="A17" s="16">
        <v>44978</v>
      </c>
      <c r="B17" s="29">
        <f t="shared" si="2"/>
        <v>8</v>
      </c>
      <c r="C17" s="1" t="s">
        <v>26</v>
      </c>
      <c r="D17" s="20">
        <v>1.0416666666666666E-2</v>
      </c>
      <c r="E17" s="18" t="s">
        <v>67</v>
      </c>
    </row>
    <row r="18" spans="1:5" x14ac:dyDescent="0.25">
      <c r="A18" s="16">
        <v>44978</v>
      </c>
      <c r="B18" s="29">
        <f t="shared" si="2"/>
        <v>8</v>
      </c>
      <c r="C18" s="1" t="s">
        <v>25</v>
      </c>
      <c r="D18" s="20">
        <v>1.0416666666666666E-2</v>
      </c>
      <c r="E18" s="18" t="s">
        <v>68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48</v>
      </c>
      <c r="D19" s="20">
        <v>1.3888888888888888E-2</v>
      </c>
      <c r="E19" s="18" t="s">
        <v>69</v>
      </c>
    </row>
    <row r="20" spans="1:5" x14ac:dyDescent="0.25">
      <c r="A20" s="16">
        <v>44979</v>
      </c>
      <c r="B20" s="29">
        <f t="shared" si="2"/>
        <v>8</v>
      </c>
      <c r="C20" s="1" t="s">
        <v>41</v>
      </c>
      <c r="D20" s="20">
        <v>6.9444444444444441E-3</v>
      </c>
      <c r="E20" s="18" t="s">
        <v>70</v>
      </c>
    </row>
    <row r="21" spans="1:5" x14ac:dyDescent="0.25">
      <c r="A21" s="16">
        <v>44979</v>
      </c>
      <c r="B21" s="29">
        <f t="shared" si="2"/>
        <v>8</v>
      </c>
      <c r="C21" s="1" t="s">
        <v>40</v>
      </c>
      <c r="D21" s="20">
        <v>1.0416666666666666E-2</v>
      </c>
      <c r="E21" s="18" t="s">
        <v>71</v>
      </c>
    </row>
    <row r="22" spans="1:5" x14ac:dyDescent="0.25">
      <c r="A22" s="16">
        <v>44979</v>
      </c>
      <c r="B22" s="29">
        <f t="shared" si="2"/>
        <v>8</v>
      </c>
      <c r="C22" s="1" t="s">
        <v>44</v>
      </c>
      <c r="D22" s="20">
        <v>1.3888888888888888E-2</v>
      </c>
      <c r="E22" s="18" t="s">
        <v>72</v>
      </c>
    </row>
    <row r="23" spans="1:5" x14ac:dyDescent="0.25">
      <c r="A23" s="16">
        <v>44979</v>
      </c>
      <c r="B23" s="29">
        <f t="shared" si="2"/>
        <v>8</v>
      </c>
      <c r="C23" s="1" t="s">
        <v>42</v>
      </c>
      <c r="D23" s="20">
        <v>1.0416666666666666E-2</v>
      </c>
      <c r="E23" s="18" t="s">
        <v>73</v>
      </c>
    </row>
    <row r="24" spans="1:5" x14ac:dyDescent="0.25">
      <c r="A24" s="16"/>
      <c r="B24" s="29">
        <f t="shared" si="2"/>
        <v>0</v>
      </c>
      <c r="C24" s="1"/>
      <c r="D24" s="20"/>
      <c r="E24" s="18"/>
    </row>
    <row r="25" spans="1:5" x14ac:dyDescent="0.25">
      <c r="A25" s="16"/>
      <c r="B25" s="29">
        <f t="shared" si="2"/>
        <v>0</v>
      </c>
      <c r="C25" s="1"/>
      <c r="D25" s="20"/>
      <c r="E25" s="18"/>
    </row>
    <row r="26" spans="1:5" x14ac:dyDescent="0.25">
      <c r="A26" s="16"/>
      <c r="B26" s="29">
        <f t="shared" si="2"/>
        <v>0</v>
      </c>
      <c r="C26" s="1"/>
      <c r="D26" s="20"/>
      <c r="E26" s="18"/>
    </row>
    <row r="27" spans="1:5" x14ac:dyDescent="0.25">
      <c r="A27" s="16"/>
      <c r="B27" s="29">
        <f t="shared" si="2"/>
        <v>0</v>
      </c>
      <c r="C27" s="1"/>
      <c r="D27" s="20"/>
      <c r="E27" s="18"/>
    </row>
    <row r="28" spans="1:5" x14ac:dyDescent="0.25">
      <c r="A28" s="16"/>
      <c r="B28" s="29">
        <f t="shared" si="2"/>
        <v>0</v>
      </c>
      <c r="C28" s="1"/>
      <c r="D28" s="20"/>
      <c r="E28" s="18"/>
    </row>
    <row r="29" spans="1:5" x14ac:dyDescent="0.25">
      <c r="A29" s="16"/>
      <c r="B29" s="29">
        <f t="shared" si="2"/>
        <v>0</v>
      </c>
      <c r="C29" s="1"/>
      <c r="D29" s="20"/>
      <c r="E29" s="18"/>
    </row>
    <row r="30" spans="1:5" x14ac:dyDescent="0.25">
      <c r="A30" s="17"/>
      <c r="B30" s="30">
        <f t="shared" si="2"/>
        <v>0</v>
      </c>
      <c r="C30" s="2"/>
      <c r="D30" s="21"/>
      <c r="E30" s="19"/>
    </row>
    <row r="31" spans="1:5" x14ac:dyDescent="0.25">
      <c r="A31" s="17"/>
      <c r="B31" s="30">
        <f t="shared" si="2"/>
        <v>0</v>
      </c>
      <c r="C31" s="2"/>
      <c r="D31" s="21"/>
      <c r="E31" s="19"/>
    </row>
    <row r="32" spans="1:5" x14ac:dyDescent="0.25">
      <c r="A32" s="17"/>
      <c r="B32" s="30">
        <f t="shared" si="2"/>
        <v>0</v>
      </c>
      <c r="C32" s="2"/>
      <c r="D32" s="21"/>
      <c r="E32" s="19"/>
    </row>
    <row r="33" spans="1:5" x14ac:dyDescent="0.25">
      <c r="A33" s="17"/>
      <c r="B33" s="30">
        <f t="shared" si="2"/>
        <v>0</v>
      </c>
      <c r="C33" s="2"/>
      <c r="D33" s="21"/>
      <c r="E33" s="19"/>
    </row>
    <row r="34" spans="1:5" x14ac:dyDescent="0.25">
      <c r="A34" s="17"/>
      <c r="B34" s="30">
        <f t="shared" si="2"/>
        <v>0</v>
      </c>
      <c r="C34" s="2"/>
      <c r="D34" s="21"/>
      <c r="E34" s="19"/>
    </row>
    <row r="35" spans="1:5" x14ac:dyDescent="0.25">
      <c r="A35" s="17"/>
      <c r="B35" s="30">
        <f t="shared" si="2"/>
        <v>0</v>
      </c>
      <c r="C35" s="2"/>
      <c r="D35" s="21"/>
      <c r="E35" s="19"/>
    </row>
    <row r="36" spans="1:5" x14ac:dyDescent="0.25">
      <c r="A36" s="17"/>
      <c r="B36" s="30">
        <f t="shared" si="2"/>
        <v>0</v>
      </c>
      <c r="C36" s="2"/>
      <c r="D36" s="21"/>
      <c r="E36" s="19"/>
    </row>
    <row r="37" spans="1:5" x14ac:dyDescent="0.25">
      <c r="A37" s="17"/>
      <c r="B37" s="30">
        <f t="shared" si="2"/>
        <v>0</v>
      </c>
      <c r="C37" s="2"/>
      <c r="D37" s="21"/>
      <c r="E37" s="19"/>
    </row>
    <row r="38" spans="1:5" x14ac:dyDescent="0.25">
      <c r="A38" s="17"/>
      <c r="B38" s="30">
        <f t="shared" si="2"/>
        <v>0</v>
      </c>
      <c r="C38" s="2"/>
      <c r="D38" s="21"/>
      <c r="E38" s="19"/>
    </row>
    <row r="39" spans="1:5" x14ac:dyDescent="0.25">
      <c r="A39" s="17"/>
      <c r="B39" s="30">
        <f t="shared" si="2"/>
        <v>0</v>
      </c>
      <c r="C39" s="2"/>
      <c r="D39" s="21"/>
      <c r="E39" s="19"/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2023-02-22T10:58:51Z</dcterms:modified>
</cp:coreProperties>
</file>